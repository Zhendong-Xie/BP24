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60" windowHeight="11900"/>
  </bookViews>
  <sheets>
    <sheet name="板 1 - Sheet1" sheetId="1" r:id="rId1"/>
  </sheets>
  <definedNames>
    <definedName name="MethodPointer1">-1812612544</definedName>
    <definedName name="MethodPointer2">502</definedName>
  </definedNames>
  <calcPr calcId="144525"/>
</workbook>
</file>

<file path=xl/sharedStrings.xml><?xml version="1.0" encoding="utf-8"?>
<sst xmlns="http://schemas.openxmlformats.org/spreadsheetml/2006/main" count="53" uniqueCount="53">
  <si>
    <t>软件版本</t>
  </si>
  <si>
    <t>3.08.01</t>
  </si>
  <si>
    <t>酶标仪</t>
  </si>
  <si>
    <r>
      <rPr>
        <sz val="10"/>
        <rFont val="宋体"/>
        <charset val="134"/>
      </rPr>
      <t>实验文件路径</t>
    </r>
    <r>
      <rPr>
        <sz val="10"/>
        <rFont val="Arial"/>
        <charset val="134"/>
      </rPr>
      <t>:</t>
    </r>
  </si>
  <si>
    <r>
      <rPr>
        <sz val="10"/>
        <rFont val="宋体"/>
        <charset val="134"/>
      </rPr>
      <t>方案文件路径</t>
    </r>
    <r>
      <rPr>
        <sz val="10"/>
        <rFont val="Arial"/>
        <charset val="134"/>
      </rPr>
      <t>:</t>
    </r>
  </si>
  <si>
    <t>板编号</t>
  </si>
  <si>
    <r>
      <rPr>
        <sz val="10"/>
        <rFont val="宋体"/>
        <charset val="134"/>
      </rPr>
      <t>板</t>
    </r>
    <r>
      <rPr>
        <sz val="10"/>
        <rFont val="Arial"/>
        <charset val="134"/>
      </rPr>
      <t xml:space="preserve"> 1</t>
    </r>
  </si>
  <si>
    <t>日期</t>
  </si>
  <si>
    <t>时间</t>
  </si>
  <si>
    <r>
      <rPr>
        <sz val="10"/>
        <rFont val="宋体"/>
        <charset val="134"/>
      </rPr>
      <t>检测仪类型</t>
    </r>
    <r>
      <rPr>
        <sz val="10"/>
        <rFont val="Arial"/>
        <charset val="134"/>
      </rPr>
      <t>:</t>
    </r>
  </si>
  <si>
    <t>Epoch 2</t>
  </si>
  <si>
    <r>
      <rPr>
        <sz val="10"/>
        <rFont val="宋体"/>
        <charset val="134"/>
      </rPr>
      <t>检测仪序列号</t>
    </r>
    <r>
      <rPr>
        <sz val="10"/>
        <rFont val="Arial"/>
        <charset val="134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</si>
  <si>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</si>
  <si>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</si>
  <si>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</si>
  <si>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</si>
  <si>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</si>
  <si>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</si>
  <si>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振板</t>
  </si>
  <si>
    <r>
      <rPr>
        <sz val="10"/>
        <rFont val="宋体"/>
        <charset val="134"/>
      </rPr>
      <t>线性</t>
    </r>
    <r>
      <rPr>
        <sz val="10"/>
        <rFont val="Arial"/>
        <charset val="134"/>
      </rPr>
      <t>: 0:00:20 (HH:MM:SS)</t>
    </r>
  </si>
  <si>
    <r>
      <rPr>
        <sz val="10"/>
        <rFont val="宋体"/>
        <charset val="134"/>
      </rPr>
      <t>频率</t>
    </r>
    <r>
      <rPr>
        <sz val="10"/>
        <rFont val="Arial"/>
        <charset val="134"/>
      </rPr>
      <t>: 567 cpm (3 mm)</t>
    </r>
  </si>
  <si>
    <t>检测</t>
  </si>
  <si>
    <r>
      <rPr>
        <sz val="10"/>
        <rFont val="宋体"/>
        <charset val="134"/>
      </rPr>
      <t>吸收光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终点</t>
    </r>
  </si>
  <si>
    <t>全板</t>
  </si>
  <si>
    <r>
      <rPr>
        <sz val="10"/>
        <rFont val="宋体"/>
        <charset val="134"/>
      </rPr>
      <t>波长</t>
    </r>
    <r>
      <rPr>
        <sz val="10"/>
        <rFont val="Arial"/>
        <charset val="134"/>
      </rPr>
      <t>:  450</t>
    </r>
  </si>
  <si>
    <r>
      <rPr>
        <sz val="10"/>
        <rFont val="宋体"/>
        <charset val="134"/>
      </rPr>
      <t>检测速度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正常</t>
    </r>
    <r>
      <rPr>
        <sz val="10"/>
        <rFont val="Arial"/>
        <charset val="134"/>
      </rPr>
      <t xml:space="preserve">,  </t>
    </r>
    <r>
      <rPr>
        <sz val="10"/>
        <rFont val="宋体"/>
        <charset val="134"/>
      </rPr>
      <t>延迟</t>
    </r>
    <r>
      <rPr>
        <sz val="10"/>
        <rFont val="Arial"/>
        <charset val="134"/>
      </rPr>
      <t xml:space="preserve">: 100 msec,  </t>
    </r>
    <r>
      <rPr>
        <sz val="10"/>
        <rFont val="宋体"/>
        <charset val="134"/>
      </rPr>
      <t>测量值</t>
    </r>
    <r>
      <rPr>
        <sz val="10"/>
        <rFont val="Arial"/>
        <charset val="134"/>
      </rPr>
      <t>/</t>
    </r>
    <r>
      <rPr>
        <sz val="10"/>
        <rFont val="宋体"/>
        <charset val="134"/>
      </rPr>
      <t>数据点</t>
    </r>
    <r>
      <rPr>
        <sz val="10"/>
        <rFont val="Arial"/>
        <charset val="134"/>
      </rPr>
      <t>: 8</t>
    </r>
  </si>
  <si>
    <t>结果</t>
  </si>
  <si>
    <r>
      <rPr>
        <sz val="10"/>
        <rFont val="宋体"/>
        <charset val="134"/>
      </rPr>
      <t>实际温度</t>
    </r>
    <r>
      <rPr>
        <sz val="10"/>
        <rFont val="Arial"/>
        <charset val="134"/>
      </rPr>
      <t>:</t>
    </r>
  </si>
  <si>
    <t>A</t>
  </si>
  <si>
    <t>B</t>
  </si>
  <si>
    <t>C</t>
  </si>
  <si>
    <t>D</t>
  </si>
  <si>
    <t>E</t>
  </si>
  <si>
    <t>F</t>
  </si>
  <si>
    <t>G</t>
  </si>
  <si>
    <t>H</t>
  </si>
  <si>
    <t>标准品浓度</t>
  </si>
  <si>
    <t>测得的吸光值</t>
  </si>
  <si>
    <t>Y</t>
  </si>
  <si>
    <t>第一组</t>
  </si>
  <si>
    <t>第二组</t>
  </si>
  <si>
    <t>均值</t>
  </si>
  <si>
    <t>CD24(DA)</t>
  </si>
  <si>
    <t>g/mol</t>
  </si>
  <si>
    <t>浓度</t>
  </si>
  <si>
    <t>终浓度(ng/mL)</t>
  </si>
  <si>
    <r>
      <rPr>
        <sz val="10"/>
        <rFont val="宋体"/>
        <charset val="134"/>
      </rPr>
      <t>孔内液体量：0.1</t>
    </r>
    <r>
      <rPr>
        <sz val="10"/>
        <rFont val="Arial"/>
        <charset val="134"/>
      </rPr>
      <t>mL</t>
    </r>
  </si>
  <si>
    <t>10ul上清对应的细胞量</t>
  </si>
  <si>
    <r>
      <rPr>
        <sz val="10"/>
        <rFont val="Arial"/>
        <charset val="134"/>
      </rPr>
      <t>CD24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</si>
  <si>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单细胞</t>
    </r>
    <r>
      <rPr>
        <sz val="10"/>
        <rFont val="Arial"/>
        <charset val="134"/>
      </rPr>
      <t>CD24</t>
    </r>
    <r>
      <rPr>
        <sz val="10"/>
        <rFont val="宋体"/>
        <charset val="134"/>
      </rPr>
      <t>量</t>
    </r>
  </si>
  <si>
    <t>NA</t>
  </si>
  <si>
    <r>
      <t>ng</t>
    </r>
    <r>
      <rPr>
        <sz val="10"/>
        <rFont val="宋体-简"/>
        <charset val="134"/>
      </rPr>
      <t>到</t>
    </r>
    <r>
      <rPr>
        <sz val="10"/>
        <rFont val="Arial"/>
        <charset val="134"/>
      </rPr>
      <t>g</t>
    </r>
  </si>
  <si>
    <r>
      <t>单细胞</t>
    </r>
    <r>
      <rPr>
        <sz val="10"/>
        <rFont val="Arial"/>
        <charset val="134"/>
      </rPr>
      <t>CD24</t>
    </r>
    <r>
      <rPr>
        <sz val="10"/>
        <rFont val="宋体-简"/>
        <charset val="134"/>
      </rPr>
      <t>的个数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</si>
</sst>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0"/>
      <name val="Arial"/>
      <charset val="134"/>
    </font>
    <font>
      <sz val="10"/>
      <name val="宋体"/>
      <charset val="134"/>
    </font>
    <font>
      <sz val="10"/>
      <name val="宋体-简"/>
      <charset val="134"/>
    </font>
    <font>
      <b/>
      <u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27413E"/>
      <name val="Arial"/>
      <charset val="134"/>
    </font>
    <font>
      <sz val="10"/>
      <name val="宋体"/>
      <charset val="134"/>
    </font>
    <font>
      <sz val="7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58" fontId="0" fillId="0" borderId="0" xfId="0" applyNumberFormat="1"/>
    <xf numFmtId="35" fontId="0" fillId="0" borderId="0" xfId="0" applyNumberForma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/>
    <xf numFmtId="0" fontId="7" fillId="0" borderId="0" xfId="0" applyFont="1" applyAlignment="1">
      <alignment horizontal="left" vertical="center" wrapText="1"/>
    </xf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'板 1 - Sheet1'!$D$41:$D$46</c:f>
              <c:numCache>
                <c:formatCode>General</c:formatCode>
                <c:ptCount val="6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3</c:v>
                </c:pt>
                <c:pt idx="4">
                  <c:v>6</c:v>
                </c:pt>
                <c:pt idx="5">
                  <c:v>12</c:v>
                </c:pt>
              </c:numCache>
            </c:numRef>
          </c:xVal>
          <c:yVal>
            <c:numRef>
              <c:f>'板 1 - Sheet1'!$E$41:$E$46</c:f>
              <c:numCache>
                <c:formatCode>General</c:formatCode>
                <c:ptCount val="6"/>
                <c:pt idx="0">
                  <c:v>0.07</c:v>
                </c:pt>
                <c:pt idx="1">
                  <c:v>0.171</c:v>
                </c:pt>
                <c:pt idx="2">
                  <c:v>0.267</c:v>
                </c:pt>
                <c:pt idx="3">
                  <c:v>0.51</c:v>
                </c:pt>
                <c:pt idx="4">
                  <c:v>1.064</c:v>
                </c:pt>
                <c:pt idx="5">
                  <c:v>2.225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44255"/>
        <c:axId val="88038415"/>
      </c:scatterChart>
      <c:valAx>
        <c:axId val="8924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38415"/>
        <c:crosses val="autoZero"/>
        <c:crossBetween val="midCat"/>
      </c:valAx>
      <c:valAx>
        <c:axId val="880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4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95250</xdr:colOff>
      <xdr:row>16</xdr:row>
      <xdr:rowOff>100012</xdr:rowOff>
    </xdr:from>
    <xdr:to>
      <xdr:col>23</xdr:col>
      <xdr:colOff>400050</xdr:colOff>
      <xdr:row>33</xdr:row>
      <xdr:rowOff>90487</xdr:rowOff>
    </xdr:to>
    <xdr:graphicFrame>
      <xdr:nvGraphicFramePr>
        <xdr:cNvPr id="2" name="图表 1"/>
        <xdr:cNvGraphicFramePr/>
      </xdr:nvGraphicFramePr>
      <xdr:xfrm>
        <a:off x="13224510" y="3259455"/>
        <a:ext cx="4785360" cy="3404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62"/>
  <sheetViews>
    <sheetView tabSelected="1" topLeftCell="B50" workbookViewId="0">
      <selection activeCell="N59" sqref="N59"/>
    </sheetView>
  </sheetViews>
  <sheetFormatPr defaultColWidth="9" defaultRowHeight="15.2"/>
  <cols>
    <col min="1" max="1" width="20.7232142857143" customWidth="1"/>
    <col min="2" max="2" width="12.7232142857143" customWidth="1"/>
    <col min="9" max="9" width="20.1785714285714" customWidth="1"/>
    <col min="10" max="10" width="12.7232142857143" customWidth="1"/>
    <col min="11" max="11" width="9.72321428571429" customWidth="1"/>
    <col min="13" max="13" width="18.1785714285714" customWidth="1"/>
    <col min="14" max="14" width="9.35714285714286"/>
  </cols>
  <sheetData>
    <row r="2" spans="1:3">
      <c r="A2" s="1" t="s">
        <v>0</v>
      </c>
      <c r="B2" t="s">
        <v>1</v>
      </c>
      <c r="C2" s="2" t="s">
        <v>2</v>
      </c>
    </row>
    <row r="4" ht="16" spans="1:1">
      <c r="A4" s="1" t="s">
        <v>3</v>
      </c>
    </row>
    <row r="5" ht="16" spans="1:1">
      <c r="A5" s="1" t="s">
        <v>4</v>
      </c>
    </row>
    <row r="6" ht="16" spans="1:2">
      <c r="A6" s="1" t="s">
        <v>5</v>
      </c>
      <c r="B6" s="1" t="s">
        <v>6</v>
      </c>
    </row>
    <row r="7" spans="1:2">
      <c r="A7" s="1" t="s">
        <v>7</v>
      </c>
      <c r="B7" s="3">
        <v>46122</v>
      </c>
    </row>
    <row r="8" spans="1:2">
      <c r="A8" s="1" t="s">
        <v>8</v>
      </c>
      <c r="B8" s="4">
        <v>0.802210648148148</v>
      </c>
    </row>
    <row r="9" ht="16" spans="1:2">
      <c r="A9" s="1" t="s">
        <v>9</v>
      </c>
      <c r="B9" t="s">
        <v>10</v>
      </c>
    </row>
    <row r="10" ht="16" spans="1:2">
      <c r="A10" s="1" t="s">
        <v>11</v>
      </c>
      <c r="B10">
        <v>20041421</v>
      </c>
    </row>
    <row r="11" spans="1:2">
      <c r="A11" s="1" t="s">
        <v>12</v>
      </c>
      <c r="B11" s="1" t="s">
        <v>13</v>
      </c>
    </row>
    <row r="13" ht="16" spans="1:2">
      <c r="A13" s="5" t="s">
        <v>14</v>
      </c>
      <c r="B13" s="6"/>
    </row>
    <row r="14" spans="1:2">
      <c r="A14" s="1" t="s">
        <v>15</v>
      </c>
      <c r="B14" t="s">
        <v>16</v>
      </c>
    </row>
    <row r="15" spans="1:1">
      <c r="A15" s="1" t="s">
        <v>17</v>
      </c>
    </row>
    <row r="16" ht="16" spans="1:2">
      <c r="A16" s="1" t="s">
        <v>18</v>
      </c>
      <c r="B16" s="1" t="s">
        <v>19</v>
      </c>
    </row>
    <row r="17" ht="16" spans="2:2">
      <c r="B17" s="1" t="s">
        <v>20</v>
      </c>
    </row>
    <row r="18" ht="16" spans="1:2">
      <c r="A18" s="1" t="s">
        <v>21</v>
      </c>
      <c r="B18" s="1" t="s">
        <v>22</v>
      </c>
    </row>
    <row r="19" spans="2:2">
      <c r="B19" s="1" t="s">
        <v>23</v>
      </c>
    </row>
    <row r="20" ht="16" spans="2:2">
      <c r="B20" s="1" t="s">
        <v>24</v>
      </c>
    </row>
    <row r="21" ht="16" spans="2:2">
      <c r="B21" s="1" t="s">
        <v>25</v>
      </c>
    </row>
    <row r="23" ht="16" spans="1:2">
      <c r="A23" s="5" t="s">
        <v>26</v>
      </c>
      <c r="B23" s="6"/>
    </row>
    <row r="24" ht="16" spans="1:2">
      <c r="A24" s="1" t="s">
        <v>27</v>
      </c>
      <c r="B24">
        <v>23.6</v>
      </c>
    </row>
    <row r="26" spans="2:14">
      <c r="B26" s="7"/>
      <c r="C26" s="8">
        <v>1</v>
      </c>
      <c r="D26" s="8">
        <v>2</v>
      </c>
      <c r="E26" s="8">
        <v>3</v>
      </c>
      <c r="F26" s="8">
        <v>4</v>
      </c>
      <c r="G26" s="8">
        <v>5</v>
      </c>
      <c r="H26" s="8">
        <v>6</v>
      </c>
      <c r="I26" s="8">
        <v>7</v>
      </c>
      <c r="J26" s="8">
        <v>8</v>
      </c>
      <c r="K26" s="8">
        <v>9</v>
      </c>
      <c r="L26" s="8">
        <v>10</v>
      </c>
      <c r="M26" s="8">
        <v>11</v>
      </c>
      <c r="N26" s="8">
        <v>12</v>
      </c>
    </row>
    <row r="27" ht="16" spans="2:15">
      <c r="B27" s="8" t="s">
        <v>28</v>
      </c>
      <c r="C27" s="9">
        <v>0.07</v>
      </c>
      <c r="D27" s="10">
        <v>0.194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16">
        <v>450</v>
      </c>
    </row>
    <row r="28" ht="16" spans="2:15">
      <c r="B28" s="8" t="s">
        <v>29</v>
      </c>
      <c r="C28" s="10">
        <v>0.171</v>
      </c>
      <c r="D28" s="10">
        <v>0.192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16">
        <v>450</v>
      </c>
    </row>
    <row r="29" ht="16" spans="2:15">
      <c r="B29" s="8" t="s">
        <v>30</v>
      </c>
      <c r="C29" s="10">
        <v>0.267</v>
      </c>
      <c r="D29" s="10">
        <v>0.217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16">
        <v>450</v>
      </c>
    </row>
    <row r="30" ht="16" spans="2:15">
      <c r="B30" s="8" t="s">
        <v>31</v>
      </c>
      <c r="C30" s="11">
        <v>0.51</v>
      </c>
      <c r="D30" s="10">
        <v>0.22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16">
        <v>450</v>
      </c>
    </row>
    <row r="31" ht="16" spans="2:15">
      <c r="B31" s="8" t="s">
        <v>32</v>
      </c>
      <c r="C31" s="12">
        <v>1.064</v>
      </c>
      <c r="D31" s="10">
        <v>0.229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16">
        <v>450</v>
      </c>
    </row>
    <row r="32" ht="16" spans="2:15">
      <c r="B32" s="8" t="s">
        <v>33</v>
      </c>
      <c r="C32" s="13">
        <v>2.225</v>
      </c>
      <c r="D32" s="10">
        <v>0.223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16">
        <v>450</v>
      </c>
    </row>
    <row r="33" ht="16" spans="2:15">
      <c r="B33" s="8" t="s">
        <v>34</v>
      </c>
      <c r="C33" s="9">
        <v>0.05</v>
      </c>
      <c r="D33" s="9">
        <v>0.059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16">
        <v>450</v>
      </c>
    </row>
    <row r="34" ht="16" spans="2:15">
      <c r="B34" s="8" t="s">
        <v>35</v>
      </c>
      <c r="C34" s="9">
        <v>0.038</v>
      </c>
      <c r="D34" s="9">
        <v>0.042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16">
        <v>450</v>
      </c>
    </row>
    <row r="38" spans="4:5">
      <c r="D38" s="2" t="s">
        <v>36</v>
      </c>
      <c r="E38" s="2" t="s">
        <v>37</v>
      </c>
    </row>
    <row r="39" spans="5:5">
      <c r="E39" t="s">
        <v>38</v>
      </c>
    </row>
    <row r="40" spans="5:11">
      <c r="E40" s="8">
        <v>1</v>
      </c>
      <c r="I40" s="8"/>
      <c r="J40" s="14" t="s">
        <v>39</v>
      </c>
      <c r="K40" s="14" t="s">
        <v>40</v>
      </c>
    </row>
    <row r="41" spans="4:11">
      <c r="D41">
        <v>0</v>
      </c>
      <c r="E41" s="9">
        <v>0.07</v>
      </c>
      <c r="J41" s="10">
        <v>0.194</v>
      </c>
      <c r="K41" s="10">
        <v>0.22</v>
      </c>
    </row>
    <row r="42" spans="4:11">
      <c r="D42">
        <v>0.75</v>
      </c>
      <c r="E42" s="10">
        <v>0.171</v>
      </c>
      <c r="J42" s="10">
        <v>0.192</v>
      </c>
      <c r="K42" s="10">
        <v>0.229</v>
      </c>
    </row>
    <row r="43" spans="4:11">
      <c r="D43">
        <v>1.5</v>
      </c>
      <c r="E43" s="10">
        <v>0.267</v>
      </c>
      <c r="J43" s="10">
        <v>0.217</v>
      </c>
      <c r="K43" s="10">
        <v>0.223</v>
      </c>
    </row>
    <row r="44" spans="4:5">
      <c r="D44">
        <v>3</v>
      </c>
      <c r="E44" s="11">
        <v>0.51</v>
      </c>
    </row>
    <row r="45" spans="4:14">
      <c r="D45">
        <v>6</v>
      </c>
      <c r="E45" s="12">
        <v>1.064</v>
      </c>
      <c r="I45" s="14" t="s">
        <v>41</v>
      </c>
      <c r="J45">
        <f>AVERAGE(J41:J43)</f>
        <v>0.201</v>
      </c>
      <c r="K45">
        <f>AVERAGE(K41:K43)</f>
        <v>0.224</v>
      </c>
      <c r="N45" t="s">
        <v>42</v>
      </c>
    </row>
    <row r="46" spans="4:15">
      <c r="D46">
        <v>12</v>
      </c>
      <c r="E46" s="13">
        <v>2.225</v>
      </c>
      <c r="N46">
        <v>8083</v>
      </c>
      <c r="O46" t="s">
        <v>43</v>
      </c>
    </row>
    <row r="47" spans="5:5">
      <c r="E47" s="9"/>
    </row>
    <row r="48" spans="5:11">
      <c r="E48" s="9"/>
      <c r="I48" s="14" t="s">
        <v>44</v>
      </c>
      <c r="J48">
        <f>(J45-0.0149)/0.1814</f>
        <v>1.02590959206174</v>
      </c>
      <c r="K48">
        <f>(K45-0.0149)/0.18114</f>
        <v>1.15435574693607</v>
      </c>
    </row>
    <row r="50" ht="16" spans="9:13">
      <c r="I50" s="14" t="s">
        <v>45</v>
      </c>
      <c r="J50">
        <f>J48*5</f>
        <v>5.12954796030871</v>
      </c>
      <c r="K50">
        <f>K48*5</f>
        <v>5.77177873468036</v>
      </c>
      <c r="M50" s="15" t="s">
        <v>46</v>
      </c>
    </row>
    <row r="52" spans="9:11">
      <c r="I52" s="14" t="s">
        <v>47</v>
      </c>
      <c r="J52">
        <v>100050</v>
      </c>
      <c r="K52">
        <v>100050</v>
      </c>
    </row>
    <row r="54" ht="16" spans="9:11">
      <c r="I54" t="s">
        <v>48</v>
      </c>
      <c r="J54">
        <f>J50*0.1</f>
        <v>0.512954796030871</v>
      </c>
      <c r="K54">
        <f>K50*0.1</f>
        <v>0.577177873468036</v>
      </c>
    </row>
    <row r="55" spans="9:9">
      <c r="I55" s="15"/>
    </row>
    <row r="56" ht="16" spans="9:14">
      <c r="I56" s="15" t="s">
        <v>49</v>
      </c>
      <c r="J56">
        <f>J54/J52</f>
        <v>5.12698446807467e-6</v>
      </c>
      <c r="K56">
        <f>K54/K52</f>
        <v>5.76889428753659e-6</v>
      </c>
      <c r="N56" t="s">
        <v>50</v>
      </c>
    </row>
    <row r="57" spans="14:14">
      <c r="N57" s="17">
        <v>6.023e+23</v>
      </c>
    </row>
    <row r="59" ht="16" spans="10:13">
      <c r="J59">
        <f>J56*N57/N46</f>
        <v>382034237921734</v>
      </c>
      <c r="M59" s="15" t="s">
        <v>51</v>
      </c>
    </row>
    <row r="60" spans="13:13">
      <c r="M60" s="17">
        <v>1e-9</v>
      </c>
    </row>
    <row r="62" ht="16" spans="9:10">
      <c r="I62" s="14" t="s">
        <v>52</v>
      </c>
      <c r="J62">
        <f>J59*M60</f>
        <v>382034.237921734</v>
      </c>
    </row>
  </sheetData>
  <pageMargins left="0.75" right="0.75" top="1" bottom="1" header="0.5" footer="0.5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D5-B2楼</dc:creator>
  <cp:lastModifiedBy>塞拉斯·维多利亚</cp:lastModifiedBy>
  <dcterms:created xsi:type="dcterms:W3CDTF">2011-01-19T04:51:00Z</dcterms:created>
  <dcterms:modified xsi:type="dcterms:W3CDTF">2026-04-16T13:38:08Z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  <property fmtid="{D5CDD505-2E9C-101B-9397-08002B2CF9AE}" pid="4" name="KSOProductBuildVer">
    <vt:lpwstr>1033-6.4.0.8550</vt:lpwstr>
  </property>
  <property fmtid="{D5CDD505-2E9C-101B-9397-08002B2CF9AE}" pid="5" name="ICV">
    <vt:lpwstr>80F4F22056175692C075E069BA612C11_43</vt:lpwstr>
  </property>
</Properties>
</file>