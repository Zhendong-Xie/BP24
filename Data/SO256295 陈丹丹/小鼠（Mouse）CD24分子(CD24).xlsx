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CD24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<sst xmlns="http://schemas.openxmlformats.org/spreadsheetml/2006/main" count="47" uniqueCount="29">
  <si>
    <r>
      <rPr>
        <b/>
        <sz val="20"/>
        <rFont val="Times New Roman"/>
        <charset val="134"/>
      </rPr>
      <t>ELISA</t>
    </r>
    <r>
      <rPr>
        <b/>
        <sz val="20"/>
        <rFont val="仿宋_GB2312"/>
        <charset val="134"/>
      </rPr>
      <t>代测实验报告</t>
    </r>
  </si>
  <si>
    <t>实验信息</t>
  </si>
  <si>
    <r>
      <rPr>
        <sz val="12"/>
        <color theme="1"/>
        <rFont val="宋体"/>
        <charset val="134"/>
      </rPr>
      <t>试剂盒名称</t>
    </r>
    <r>
      <rPr>
        <sz val="12"/>
        <color theme="1"/>
        <rFont val="Times New Roman"/>
        <charset val="134"/>
      </rPr>
      <t xml:space="preserve">: </t>
    </r>
    <r>
      <rPr>
        <sz val="12"/>
        <color theme="1"/>
        <rFont val="宋体"/>
        <charset val="134"/>
      </rPr>
      <t>小鼠（Mouse）CD24分子(CD24)</t>
    </r>
    <r>
      <rPr>
        <sz val="12"/>
        <color theme="1"/>
        <rFont val="Times New Roman"/>
        <charset val="134"/>
      </rPr>
      <t>ELISA</t>
    </r>
    <r>
      <rPr>
        <sz val="12"/>
        <color theme="1"/>
        <rFont val="宋体"/>
        <charset val="134"/>
      </rPr>
      <t>检测试剂盒</t>
    </r>
  </si>
  <si>
    <t>测试仪器：酶标分析仪：Infinite F50</t>
  </si>
  <si>
    <t>测试方法和操作步操作：详见操作说明书</t>
  </si>
  <si>
    <r>
      <rPr>
        <sz val="12"/>
        <color theme="1"/>
        <rFont val="宋体"/>
        <charset val="134"/>
      </rPr>
      <t>数量：48</t>
    </r>
    <r>
      <rPr>
        <sz val="12"/>
        <color theme="1"/>
        <rFont val="Times New Roman"/>
        <charset val="134"/>
      </rPr>
      <t>T</t>
    </r>
    <r>
      <rPr>
        <sz val="12"/>
        <color theme="1"/>
        <rFont val="宋体"/>
        <charset val="134"/>
      </rPr>
      <t>（共3个样本）</t>
    </r>
  </si>
  <si>
    <r>
      <rPr>
        <sz val="12"/>
        <color theme="1"/>
        <rFont val="宋体"/>
        <charset val="134"/>
      </rPr>
      <t>样本稀释倍数：1</t>
    </r>
    <r>
      <rPr>
        <sz val="12"/>
        <color theme="1"/>
        <rFont val="Times New Roman"/>
        <charset val="134"/>
      </rPr>
      <t>×</t>
    </r>
  </si>
  <si>
    <t>一、检测样本对应表</t>
  </si>
  <si>
    <t>A</t>
  </si>
  <si>
    <t>S0</t>
  </si>
  <si>
    <t>B</t>
  </si>
  <si>
    <t>S1</t>
  </si>
  <si>
    <t>C</t>
  </si>
  <si>
    <t>S2</t>
  </si>
  <si>
    <t>D</t>
  </si>
  <si>
    <t>S3</t>
  </si>
  <si>
    <t>E</t>
  </si>
  <si>
    <t>S4</t>
  </si>
  <si>
    <t>F</t>
  </si>
  <si>
    <t>S5</t>
  </si>
  <si>
    <t>G</t>
  </si>
  <si>
    <t>H</t>
  </si>
  <si>
    <t>二、原始数据读数</t>
  </si>
  <si>
    <t>二、标准曲线分析</t>
  </si>
  <si>
    <t>ng/mL</t>
  </si>
  <si>
    <t>OD1</t>
  </si>
  <si>
    <t>参数</t>
  </si>
  <si>
    <t>系数</t>
  </si>
  <si>
    <t>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</si>
</sst>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0_ "/>
  </numFmts>
  <fonts count="45">
    <font>
      <sz val="11"/>
      <color theme="1"/>
      <name val="宋体"/>
      <charset val="134"/>
      <scheme val="minor"/>
    </font>
    <font>
      <sz val="11"/>
      <name val="Times New Roman"/>
      <charset val="134"/>
    </font>
    <font>
      <sz val="12"/>
      <name val="Times New Roman"/>
      <charset val="134"/>
    </font>
    <font>
      <b/>
      <sz val="12"/>
      <color indexed="10"/>
      <name val="Times New Roman"/>
      <charset val="134"/>
    </font>
    <font>
      <b/>
      <sz val="20"/>
      <name val="Times New Roman"/>
      <charset val="134"/>
    </font>
    <font>
      <sz val="12"/>
      <color rgb="FF000000"/>
      <name val="宋体"/>
      <charset val="134"/>
    </font>
    <font>
      <sz val="12"/>
      <color rgb="FF000000"/>
      <name val="Times New Roman"/>
      <charset val="134"/>
    </font>
    <font>
      <b/>
      <sz val="12"/>
      <name val="Times New Roman"/>
      <charset val="134"/>
    </font>
    <font>
      <sz val="12"/>
      <color theme="1"/>
      <name val="宋体"/>
      <charset val="134"/>
    </font>
    <font>
      <sz val="12"/>
      <name val="Times New Roman"/>
      <charset val="0"/>
    </font>
    <font>
      <sz val="12"/>
      <name val="宋体"/>
      <charset val="134"/>
    </font>
    <font>
      <sz val="12"/>
      <color theme="1"/>
      <name val="Times New Roman"/>
      <charset val="134"/>
    </font>
    <font>
      <b/>
      <sz val="12"/>
      <color indexed="12"/>
      <name val="Times New Roman"/>
      <charset val="0"/>
    </font>
    <font>
      <sz val="12"/>
      <color theme="1"/>
      <name val="Times New Roman"/>
      <charset val="0"/>
    </font>
    <font>
      <sz val="12"/>
      <color indexed="8"/>
      <name val="宋体"/>
      <charset val="134"/>
    </font>
    <font>
      <b/>
      <sz val="12"/>
      <color rgb="FF0000FF"/>
      <name val="Times New Roman"/>
      <charset val="0"/>
    </font>
    <font>
      <sz val="12"/>
      <color rgb="FF000000"/>
      <name val="Times New Roman"/>
      <charset val="0"/>
    </font>
    <font>
      <b/>
      <sz val="12"/>
      <name val="宋体"/>
      <charset val="134"/>
    </font>
    <font>
      <b/>
      <sz val="12"/>
      <name val="Times New Roman"/>
      <charset val="0"/>
    </font>
    <font>
      <sz val="12"/>
      <color indexed="8"/>
      <name val="Times New Roman"/>
      <charset val="134"/>
    </font>
    <font>
      <b/>
      <sz val="12"/>
      <color indexed="8"/>
      <name val="Times New Roman"/>
      <charset val="134"/>
    </font>
    <font>
      <b/>
      <sz val="11"/>
      <color indexed="12"/>
      <name val="Times New Roman"/>
      <charset val="0"/>
    </font>
    <font>
      <sz val="11"/>
      <name val="Times New Roman"/>
      <charset val="0"/>
    </font>
    <font>
      <b/>
      <sz val="11"/>
      <color theme="1"/>
      <name val="Times New Roman"/>
      <charset val="134"/>
    </font>
    <font>
      <sz val="11"/>
      <color indexed="8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20"/>
      <name val="仿宋_GB2312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3" applyNumberFormat="0" applyFill="0" applyAlignment="0" applyProtection="0">
      <alignment vertical="center"/>
    </xf>
    <xf numFmtId="0" fontId="31" fillId="0" borderId="3" applyNumberFormat="0" applyFill="0" applyAlignment="0" applyProtection="0">
      <alignment vertical="center"/>
    </xf>
    <xf numFmtId="0" fontId="32" fillId="0" borderId="4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4" borderId="5" applyNumberFormat="0" applyAlignment="0" applyProtection="0">
      <alignment vertical="center"/>
    </xf>
    <xf numFmtId="0" fontId="34" fillId="5" borderId="6" applyNumberFormat="0" applyAlignment="0" applyProtection="0">
      <alignment vertical="center"/>
    </xf>
    <xf numFmtId="0" fontId="35" fillId="5" borderId="5" applyNumberFormat="0" applyAlignment="0" applyProtection="0">
      <alignment vertical="center"/>
    </xf>
    <xf numFmtId="0" fontId="36" fillId="6" borderId="7" applyNumberFormat="0" applyAlignment="0" applyProtection="0">
      <alignment vertical="center"/>
    </xf>
    <xf numFmtId="0" fontId="37" fillId="0" borderId="8" applyNumberFormat="0" applyFill="0" applyAlignment="0" applyProtection="0">
      <alignment vertical="center"/>
    </xf>
    <xf numFmtId="0" fontId="38" fillId="0" borderId="9" applyNumberFormat="0" applyFill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/>
    <xf numFmtId="0" fontId="0" fillId="0" borderId="0">
      <alignment vertical="center"/>
    </xf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/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5" fillId="2" borderId="0" xfId="51" applyFont="1" applyFill="1" applyBorder="1" applyAlignment="1"/>
    <xf numFmtId="0" fontId="6" fillId="2" borderId="0" xfId="51" applyFont="1" applyFill="1" applyBorder="1" applyAlignment="1"/>
    <xf numFmtId="0" fontId="7" fillId="0" borderId="0" xfId="0" applyFont="1" applyFill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0" fontId="9" fillId="0" borderId="0" xfId="0" applyFont="1" applyFill="1" applyAlignment="1" applyProtection="1">
      <alignment vertical="center"/>
    </xf>
    <xf numFmtId="0" fontId="2" fillId="0" borderId="0" xfId="0" applyFont="1" applyFill="1" applyAlignment="1" applyProtection="1">
      <alignment horizontal="left" vertical="center"/>
    </xf>
    <xf numFmtId="0" fontId="2" fillId="0" borderId="0" xfId="0" applyFont="1" applyFill="1" applyAlignment="1" applyProtection="1">
      <alignment vertical="center"/>
    </xf>
    <xf numFmtId="0" fontId="10" fillId="0" borderId="0" xfId="0" applyFont="1" applyFill="1" applyAlignment="1">
      <alignment horizontal="left" vertical="center"/>
    </xf>
    <xf numFmtId="0" fontId="8" fillId="0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9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11" fillId="0" borderId="0" xfId="52" applyFont="1" applyFill="1" applyBorder="1" applyAlignment="1"/>
    <xf numFmtId="0" fontId="11" fillId="2" borderId="1" xfId="52" applyFont="1" applyFill="1" applyBorder="1" applyAlignment="1">
      <alignment horizontal="center"/>
    </xf>
    <xf numFmtId="0" fontId="11" fillId="0" borderId="0" xfId="52" applyFont="1" applyFill="1" applyBorder="1" applyAlignment="1">
      <alignment horizontal="center" vertical="center"/>
    </xf>
    <xf numFmtId="0" fontId="11" fillId="0" borderId="1" xfId="52" applyFont="1" applyFill="1" applyBorder="1" applyAlignment="1">
      <alignment horizontal="center" vertical="center"/>
    </xf>
    <xf numFmtId="0" fontId="11" fillId="0" borderId="1" xfId="52" applyFont="1" applyFill="1" applyBorder="1" applyAlignment="1">
      <alignment horizontal="center" vertical="center"/>
    </xf>
    <xf numFmtId="0" fontId="11" fillId="0" borderId="1" xfId="52" applyFont="1" applyFill="1" applyBorder="1" applyAlignment="1">
      <alignment horizontal="center" vertical="center"/>
    </xf>
    <xf numFmtId="0" fontId="12" fillId="0" borderId="0" xfId="0" applyFont="1" applyFill="1" applyAlignment="1">
      <alignment vertical="center"/>
    </xf>
    <xf numFmtId="176" fontId="11" fillId="0" borderId="1" xfId="52" applyNumberFormat="1" applyFont="1" applyFill="1" applyBorder="1" applyAlignment="1">
      <alignment horizontal="center" vertical="center"/>
    </xf>
    <xf numFmtId="176" fontId="11" fillId="0" borderId="1" xfId="52" applyNumberFormat="1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4" fillId="2" borderId="0" xfId="51" applyFont="1" applyFill="1" applyBorder="1" applyAlignment="1"/>
    <xf numFmtId="0" fontId="15" fillId="0" borderId="0" xfId="49" applyFont="1" applyAlignment="1">
      <alignment horizontal="center" vertical="center"/>
    </xf>
    <xf numFmtId="0" fontId="11" fillId="0" borderId="1" xfId="52" applyFont="1" applyFill="1" applyBorder="1" applyAlignment="1">
      <alignment horizontal="center"/>
    </xf>
    <xf numFmtId="0" fontId="9" fillId="0" borderId="0" xfId="0" applyNumberFormat="1" applyFont="1" applyFill="1" applyAlignment="1">
      <alignment horizontal="center" vertical="center"/>
    </xf>
    <xf numFmtId="0" fontId="9" fillId="0" borderId="0" xfId="50" applyFont="1"/>
    <xf numFmtId="0" fontId="16" fillId="0" borderId="0" xfId="0" applyFont="1" applyFill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0" fontId="19" fillId="0" borderId="0" xfId="0" applyFont="1" applyFill="1" applyAlignment="1">
      <alignment vertical="center" wrapText="1"/>
    </xf>
    <xf numFmtId="0" fontId="20" fillId="0" borderId="0" xfId="0" applyFont="1" applyFill="1" applyAlignment="1">
      <alignment vertical="center" wrapText="1"/>
    </xf>
    <xf numFmtId="0" fontId="12" fillId="0" borderId="0" xfId="49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11" fillId="0" borderId="0" xfId="52" applyFont="1" applyFill="1" applyBorder="1" applyAlignment="1">
      <alignment horizontal="center"/>
    </xf>
    <xf numFmtId="177" fontId="11" fillId="0" borderId="1" xfId="52" applyNumberFormat="1" applyFont="1" applyFill="1" applyBorder="1" applyAlignment="1">
      <alignment horizontal="center"/>
    </xf>
    <xf numFmtId="0" fontId="21" fillId="0" borderId="0" xfId="0" applyFont="1" applyFill="1" applyAlignment="1">
      <alignment vertical="center"/>
    </xf>
    <xf numFmtId="177" fontId="22" fillId="0" borderId="0" xfId="0" applyNumberFormat="1" applyFont="1" applyFill="1" applyAlignment="1">
      <alignment horizontal="center" vertical="center"/>
    </xf>
    <xf numFmtId="0" fontId="23" fillId="0" borderId="0" xfId="0" applyFont="1" applyFill="1" applyBorder="1" applyAlignment="1">
      <alignment vertical="center"/>
    </xf>
    <xf numFmtId="177" fontId="1" fillId="0" borderId="0" xfId="0" applyNumberFormat="1" applyFont="1" applyFill="1" applyAlignment="1">
      <alignment vertical="center"/>
    </xf>
    <xf numFmtId="0" fontId="24" fillId="0" borderId="0" xfId="0" applyFont="1" applyFill="1" applyAlignment="1">
      <alignment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_HLA-G" xfId="50"/>
    <cellStyle name="常规 3" xfId="51"/>
    <cellStyle name="常规 3 2 3" xf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>
              <a:defRPr lang="zh-CN" sz="1800" b="1" i="0" u="none" strike="noStrike" kern="1200" baseline="0">
                <a:solidFill>
                  <a:schemeClr val="tx1">
                    <a:alpha val="100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</a:defRPr>
            </a:pPr>
            <a:r>
              <a:rPr lang="en-US" altLang="en-US" sz="2000" b="1" i="0" u="none" strike="noStrike" baseline="0">
                <a:solidFill>
                  <a:schemeClr val="tx1">
                    <a:alpha val="100000"/>
                  </a:schemeClr>
                </a:solidFill>
                <a:latin typeface="Times New Roman" panose="02020603050405020304" charset="0"/>
                <a:ea typeface="宋体" panose="02010600030101010101" pitchFamily="7" charset="-122"/>
                <a:cs typeface="宋体" panose="02010600030101010101" pitchFamily="7" charset="-122"/>
              </a:rPr>
              <a:t>Mouse  CD24</a:t>
            </a:r>
            <a:endParaRPr lang="en-US" altLang="en-US" sz="2000" b="1" i="0" u="none" strike="noStrike" baseline="0">
              <a:solidFill>
                <a:schemeClr val="tx1">
                  <a:alpha val="100000"/>
                </a:schemeClr>
              </a:solidFill>
              <a:latin typeface="Times New Roman" panose="02020603050405020304" charset="0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>
        <c:manualLayout>
          <c:xMode val="edge"/>
          <c:yMode val="edge"/>
          <c:x val="0.301240693118212"/>
          <c:y val="0.020505809979494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5361814701528"/>
          <c:y val="0.0450321086861563"/>
          <c:w val="0.858860560276991"/>
          <c:h val="0.825666235446313"/>
        </c:manualLayout>
      </c:layout>
      <c:scatterChart>
        <c:scatterStyle val="marker"/>
        <c:varyColors val="0"/>
        <c:ser>
          <c:idx val="0"/>
          <c:order val="0"/>
          <c:spPr>
            <a:ln w="38100" cap="rnd" cmpd="sng" algn="ctr">
              <a:noFill/>
              <a:prstDash val="solid"/>
              <a:round/>
            </a:ln>
          </c:spPr>
          <c:marker>
            <c:symbol val="circle"/>
            <c:size val="6"/>
            <c:spPr>
              <a:solidFill>
                <a:schemeClr val="accent3">
                  <a:lumMod val="75000"/>
                </a:schemeClr>
              </a:solidFill>
              <a:ln w="3175" cap="flat" cmpd="sng" algn="ctr">
                <a:solidFill>
                  <a:schemeClr val="accent3">
                    <a:lumMod val="75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trendline>
            <c:spPr>
              <a:ln w="25400" cap="rnd" cmpd="sng" algn="ctr">
                <a:solidFill>
                  <a:schemeClr val="accent3">
                    <a:lumMod val="75000"/>
                  </a:schemeClr>
                </a:solidFill>
                <a:prstDash val="solid"/>
                <a:round/>
              </a:ln>
            </c:spPr>
            <c:trendlineType val="linear"/>
            <c:dispRSqr val="1"/>
            <c:dispEq val="1"/>
            <c:trendlineLbl>
              <c:layout>
                <c:manualLayout>
                  <c:x val="0.056710775047259"/>
                  <c:y val="0.566881859869305"/>
                </c:manualLayout>
              </c:layout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1000" b="0" i="0" u="none" strike="noStrike" kern="1200" baseline="0">
                      <a:solidFill>
                        <a:schemeClr val="tx1"/>
                      </a:solidFill>
                      <a:latin typeface="Times New Roman" panose="02020603050405020304" charset="0"/>
                      <a:ea typeface="Times New Roman" panose="02020603050405020304" charset="0"/>
                      <a:cs typeface="Times New Roman" panose="02020603050405020304" charset="0"/>
                      <a:sym typeface="Times New Roman" panose="02020603050405020304" charset="0"/>
                    </a:defRPr>
                  </a:pPr>
                </a:p>
              </c:txPr>
            </c:trendlineLbl>
          </c:trendline>
          <c:xVal>
            <c:numRef>
              <c:f>CD24!$A$37:$A$42</c:f>
              <c:numCache>
                <c:formatCode>General</c:formatCode>
                <c:ptCount val="6"/>
                <c:pt idx="0">
                  <c:v>0</c:v>
                </c:pt>
                <c:pt idx="1">
                  <c:v>0.75</c:v>
                </c:pt>
                <c:pt idx="2">
                  <c:v>1.5</c:v>
                </c:pt>
                <c:pt idx="3">
                  <c:v>3</c:v>
                </c:pt>
                <c:pt idx="4">
                  <c:v>6</c:v>
                </c:pt>
                <c:pt idx="5">
                  <c:v>12</c:v>
                </c:pt>
              </c:numCache>
            </c:numRef>
          </c:xVal>
          <c:yVal>
            <c:numRef>
              <c:f>CD24!$B$37:$B$42</c:f>
              <c:numCache>
                <c:formatCode>General</c:formatCode>
                <c:ptCount val="6"/>
                <c:pt idx="0">
                  <c:v>0.0509</c:v>
                </c:pt>
                <c:pt idx="1">
                  <c:v>0.2047</c:v>
                </c:pt>
                <c:pt idx="2">
                  <c:v>0.2615</c:v>
                </c:pt>
                <c:pt idx="3">
                  <c:v>0.4702</c:v>
                </c:pt>
                <c:pt idx="4">
                  <c:v>0.9528</c:v>
                </c:pt>
                <c:pt idx="5">
                  <c:v>1.7241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1384987"/>
        <c:axId val="656158504"/>
      </c:scatterChart>
      <c:valAx>
        <c:axId val="5813849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prstDash val="solid"/>
            <a:round/>
          </a:ln>
          <a:effectLst/>
        </c:spPr>
        <c:txPr>
          <a:bodyPr rot="0" spcFirstLastPara="0" vertOverflow="ellipsis" horzOverflow="overflow" vert="horz" wrap="square" anchor="ctr" anchorCtr="1"/>
          <a:lstStyle/>
          <a:p>
            <a:pPr>
              <a:defRPr lang="zh-CN" sz="1200" b="1" i="0" u="none" strike="noStrike" kern="1200" baseline="0">
                <a:solidFill>
                  <a:srgbClr val="000000">
                    <a:alpha val="100000"/>
                  </a:srgb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</a:defRPr>
            </a:pPr>
          </a:p>
        </c:txPr>
        <c:crossAx val="656158504"/>
        <c:crosses val="autoZero"/>
        <c:crossBetween val="midCat"/>
      </c:valAx>
      <c:valAx>
        <c:axId val="6561585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1200" b="1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+mn-ea"/>
                <a:cs typeface="+mn-cs"/>
              </a:defRPr>
            </a:pPr>
          </a:p>
        </c:txPr>
        <c:crossAx val="581384987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60032ca-0eac-4352-88f4-f4d2cc2ccac5}"/>
      </c:ext>
    </c:extLst>
  </c:chart>
  <c:spPr>
    <a:solidFill>
      <a:schemeClr val="bg1"/>
    </a:solidFill>
    <a:ln w="9525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/>
      </a:pPr>
    </a:p>
  </c:txPr>
  <c:externalData r:id="rId1">
    <c:autoUpdate val="0"/>
  </c:externalData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628650</xdr:colOff>
      <xdr:row>34</xdr:row>
      <xdr:rowOff>125730</xdr:rowOff>
    </xdr:from>
    <xdr:to>
      <xdr:col>9</xdr:col>
      <xdr:colOff>380365</xdr:colOff>
      <xdr:row>48</xdr:row>
      <xdr:rowOff>104775</xdr:rowOff>
    </xdr:to>
    <xdr:graphicFrame>
      <xdr:nvGraphicFramePr>
        <xdr:cNvPr id="2" name="图表 1"/>
        <xdr:cNvGraphicFramePr/>
      </xdr:nvGraphicFramePr>
      <xdr:xfrm>
        <a:off x="2600325" y="7050405"/>
        <a:ext cx="3695065" cy="27793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Q66"/>
  <sheetViews>
    <sheetView tabSelected="1" workbookViewId="0">
      <selection activeCell="P49" sqref="P49"/>
    </sheetView>
  </sheetViews>
  <sheetFormatPr defaultColWidth="9" defaultRowHeight="15"/>
  <cols>
    <col min="1" max="16" width="8.625" style="1" customWidth="1"/>
    <col min="17" max="16384" width="9" style="1"/>
  </cols>
  <sheetData>
    <row r="1" s="1" customFormat="1" ht="25.5" spans="1:17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="2" customFormat="1" ht="15.75" spans="1:17">
      <c r="A2" s="6" t="s">
        <v>1</v>
      </c>
      <c r="B2" s="7"/>
      <c r="D2" s="8"/>
      <c r="E2" s="8"/>
      <c r="F2" s="8"/>
    </row>
    <row r="3" s="2" customFormat="1" ht="15.75" spans="1:17">
      <c r="A3" s="8"/>
      <c r="B3" s="8"/>
      <c r="D3" s="8"/>
      <c r="E3" s="8"/>
      <c r="F3" s="8"/>
    </row>
    <row r="4" s="3" customFormat="1" ht="15.75" customHeight="1" spans="1:17">
      <c r="A4" s="9" t="s">
        <v>2</v>
      </c>
      <c r="B4" s="10"/>
      <c r="C4" s="11"/>
      <c r="D4" s="11"/>
      <c r="E4" s="11"/>
      <c r="F4" s="11"/>
      <c r="G4" s="11"/>
      <c r="H4" s="11"/>
      <c r="I4" s="12"/>
      <c r="J4" s="10"/>
      <c r="K4" s="10"/>
      <c r="L4" s="10"/>
      <c r="M4" s="10"/>
    </row>
    <row r="5" s="3" customFormat="1" ht="15.75" customHeight="1" spans="1:17">
      <c r="A5" s="13" t="s">
        <v>3</v>
      </c>
      <c r="B5" s="11"/>
      <c r="C5" s="11"/>
      <c r="D5" s="11"/>
      <c r="E5" s="11"/>
      <c r="F5" s="11"/>
      <c r="G5" s="11"/>
      <c r="H5" s="11"/>
      <c r="I5" s="12"/>
      <c r="J5" s="10"/>
      <c r="K5" s="10"/>
      <c r="L5" s="10"/>
      <c r="M5" s="10"/>
    </row>
    <row r="6" s="2" customFormat="1" ht="15.75" spans="1:17">
      <c r="A6" s="14" t="s">
        <v>4</v>
      </c>
      <c r="B6" s="15"/>
      <c r="C6" s="15"/>
      <c r="D6" s="15"/>
      <c r="E6" s="15"/>
      <c r="F6" s="15"/>
      <c r="G6" s="15"/>
      <c r="H6" s="15"/>
      <c r="J6" s="10"/>
      <c r="K6" s="10"/>
      <c r="L6" s="16"/>
      <c r="M6" s="16"/>
    </row>
    <row r="7" s="2" customFormat="1" ht="15.75" spans="1:17">
      <c r="A7" s="9" t="s">
        <v>5</v>
      </c>
      <c r="B7" s="15"/>
      <c r="C7" s="15"/>
      <c r="D7" s="15"/>
      <c r="E7" s="15"/>
      <c r="F7" s="15"/>
      <c r="G7" s="15"/>
      <c r="H7" s="15"/>
      <c r="J7" s="16"/>
      <c r="K7" s="16"/>
      <c r="L7" s="16"/>
      <c r="M7" s="16"/>
    </row>
    <row r="8" s="2" customFormat="1" ht="15.75" spans="1:17">
      <c r="A8" s="14" t="s">
        <v>6</v>
      </c>
      <c r="B8" s="15"/>
      <c r="C8" s="15"/>
      <c r="D8" s="15"/>
      <c r="E8" s="15"/>
      <c r="F8" s="15"/>
      <c r="G8" s="15"/>
      <c r="H8" s="15"/>
      <c r="J8" s="16"/>
      <c r="K8" s="16"/>
      <c r="L8" s="16"/>
      <c r="M8" s="16"/>
    </row>
    <row r="9" s="2" customFormat="1" ht="15.75" spans="1:17">
      <c r="A9" s="15"/>
      <c r="B9" s="15"/>
      <c r="C9" s="15"/>
      <c r="D9" s="15"/>
      <c r="E9" s="15"/>
      <c r="F9" s="15"/>
      <c r="G9" s="15"/>
      <c r="H9" s="15"/>
      <c r="J9" s="16"/>
      <c r="K9" s="16"/>
      <c r="L9" s="16"/>
      <c r="M9" s="16"/>
    </row>
    <row r="10" s="2" customFormat="1" ht="15.75" spans="1:17">
      <c r="A10" s="6" t="s">
        <v>7</v>
      </c>
      <c r="B10" s="7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7"/>
      <c r="O10" s="17"/>
      <c r="P10" s="17"/>
      <c r="Q10" s="17"/>
    </row>
    <row r="11" s="2" customFormat="1" ht="15.75" spans="1:17">
      <c r="A11" s="16"/>
      <c r="B11" s="18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7"/>
      <c r="O11" s="17"/>
      <c r="P11" s="17"/>
      <c r="Q11" s="17"/>
    </row>
    <row r="12" s="2" customFormat="1" ht="15.75" spans="1:17">
      <c r="A12" s="19"/>
      <c r="B12" s="20">
        <v>1</v>
      </c>
      <c r="C12" s="20">
        <v>2</v>
      </c>
      <c r="D12" s="20">
        <v>3</v>
      </c>
      <c r="E12" s="20">
        <v>4</v>
      </c>
      <c r="F12" s="20">
        <v>5</v>
      </c>
      <c r="G12" s="20">
        <v>6</v>
      </c>
      <c r="H12" s="20">
        <v>7</v>
      </c>
      <c r="I12" s="20">
        <v>8</v>
      </c>
      <c r="J12" s="20">
        <v>9</v>
      </c>
      <c r="K12" s="20">
        <v>10</v>
      </c>
      <c r="L12" s="20">
        <v>11</v>
      </c>
      <c r="M12" s="20">
        <v>12</v>
      </c>
      <c r="N12" s="17"/>
      <c r="O12" s="17"/>
      <c r="P12" s="17"/>
      <c r="Q12" s="17"/>
    </row>
    <row r="13" s="2" customFormat="1" ht="15.75" spans="1:17">
      <c r="A13" s="21" t="s">
        <v>8</v>
      </c>
      <c r="B13" s="22" t="s">
        <v>9</v>
      </c>
      <c r="C13" s="23">
        <v>1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17"/>
      <c r="O13" s="17"/>
      <c r="P13" s="17"/>
      <c r="Q13" s="17"/>
    </row>
    <row r="14" s="2" customFormat="1" ht="15.75" spans="1:17">
      <c r="A14" s="21" t="s">
        <v>10</v>
      </c>
      <c r="B14" s="22" t="s">
        <v>11</v>
      </c>
      <c r="C14" s="23">
        <v>2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17"/>
      <c r="O14" s="17"/>
      <c r="P14" s="17"/>
      <c r="Q14" s="17"/>
    </row>
    <row r="15" s="2" customFormat="1" ht="15.75" spans="1:17">
      <c r="A15" s="21" t="s">
        <v>12</v>
      </c>
      <c r="B15" s="22" t="s">
        <v>13</v>
      </c>
      <c r="C15" s="23">
        <v>2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17"/>
      <c r="O15" s="17"/>
      <c r="P15" s="17"/>
      <c r="Q15" s="17"/>
    </row>
    <row r="16" s="2" customFormat="1" ht="15.75" spans="1:17">
      <c r="A16" s="21" t="s">
        <v>14</v>
      </c>
      <c r="B16" s="22" t="s">
        <v>15</v>
      </c>
      <c r="C16" s="23">
        <v>2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17"/>
      <c r="O16" s="17"/>
      <c r="P16" s="17"/>
      <c r="Q16" s="17"/>
    </row>
    <row r="17" s="2" customFormat="1" ht="15.75" spans="1:17">
      <c r="A17" s="21" t="s">
        <v>16</v>
      </c>
      <c r="B17" s="22" t="s">
        <v>17</v>
      </c>
      <c r="C17" s="23">
        <v>3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17"/>
      <c r="O17" s="17"/>
      <c r="P17" s="17"/>
      <c r="Q17" s="17"/>
    </row>
    <row r="18" s="2" customFormat="1" ht="15.75" spans="1:17">
      <c r="A18" s="21" t="s">
        <v>18</v>
      </c>
      <c r="B18" s="22" t="s">
        <v>19</v>
      </c>
      <c r="C18" s="23">
        <v>3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17"/>
      <c r="O18" s="17"/>
      <c r="P18" s="17"/>
      <c r="Q18" s="17"/>
    </row>
    <row r="19" s="2" customFormat="1" ht="15.75" spans="1:17">
      <c r="A19" s="21" t="s">
        <v>20</v>
      </c>
      <c r="B19" s="23">
        <v>1</v>
      </c>
      <c r="C19" s="23">
        <v>3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17"/>
      <c r="O19" s="17"/>
      <c r="P19" s="17"/>
      <c r="Q19" s="17"/>
    </row>
    <row r="20" s="2" customFormat="1" ht="15.75" spans="1:17">
      <c r="A20" s="21" t="s">
        <v>21</v>
      </c>
      <c r="B20" s="23">
        <v>1</v>
      </c>
      <c r="C20" s="22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17"/>
      <c r="O20" s="17"/>
      <c r="P20" s="17"/>
      <c r="Q20" s="17"/>
    </row>
    <row r="21" s="2" customFormat="1" ht="15.75" spans="1:17">
      <c r="A21" s="25"/>
      <c r="B21" s="18"/>
      <c r="C21" s="16"/>
      <c r="D21" s="16"/>
      <c r="E21" s="16"/>
      <c r="F21" s="16"/>
      <c r="G21" s="16"/>
      <c r="H21" s="16"/>
      <c r="I21" s="16"/>
      <c r="J21" s="16"/>
      <c r="K21" s="16"/>
      <c r="N21" s="17"/>
      <c r="O21" s="17"/>
      <c r="P21" s="17"/>
      <c r="Q21" s="17"/>
    </row>
    <row r="22" s="2" customFormat="1" ht="15.75" spans="1:17">
      <c r="A22" s="6" t="s">
        <v>22</v>
      </c>
      <c r="B22" s="7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7"/>
      <c r="O22" s="17"/>
      <c r="P22" s="17"/>
      <c r="Q22" s="17"/>
    </row>
    <row r="23" s="2" customFormat="1" ht="15.75" spans="1:17">
      <c r="A23" s="16"/>
      <c r="B23" s="18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7"/>
      <c r="O23" s="17"/>
      <c r="P23" s="17"/>
      <c r="Q23" s="17"/>
    </row>
    <row r="24" s="2" customFormat="1" ht="15.75" spans="1:17">
      <c r="A24" s="19"/>
      <c r="B24" s="20">
        <v>1</v>
      </c>
      <c r="C24" s="20">
        <v>2</v>
      </c>
      <c r="D24" s="20">
        <v>3</v>
      </c>
      <c r="E24" s="20">
        <v>4</v>
      </c>
      <c r="F24" s="20">
        <v>5</v>
      </c>
      <c r="G24" s="20">
        <v>6</v>
      </c>
      <c r="H24" s="20">
        <v>7</v>
      </c>
      <c r="I24" s="20">
        <v>8</v>
      </c>
      <c r="J24" s="20">
        <v>9</v>
      </c>
      <c r="K24" s="20">
        <v>10</v>
      </c>
      <c r="L24" s="20">
        <v>11</v>
      </c>
      <c r="M24" s="20">
        <v>12</v>
      </c>
      <c r="N24" s="17"/>
      <c r="O24" s="17"/>
      <c r="P24" s="17"/>
      <c r="Q24" s="17"/>
    </row>
    <row r="25" s="2" customFormat="1" ht="15.75" spans="1:17">
      <c r="A25" s="21" t="s">
        <v>8</v>
      </c>
      <c r="B25" s="26">
        <v>0.0509</v>
      </c>
      <c r="C25" s="27">
        <v>0.4153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17"/>
      <c r="O25" s="17"/>
      <c r="P25" s="17"/>
      <c r="Q25" s="17"/>
    </row>
    <row r="26" s="2" customFormat="1" ht="15.75" spans="1:17">
      <c r="A26" s="21" t="s">
        <v>10</v>
      </c>
      <c r="B26" s="26">
        <v>0.2047</v>
      </c>
      <c r="C26" s="27">
        <v>0.3428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17"/>
      <c r="O26" s="17"/>
      <c r="P26" s="17"/>
      <c r="Q26" s="17"/>
    </row>
    <row r="27" s="2" customFormat="1" ht="15.75" spans="1:17">
      <c r="A27" s="21" t="s">
        <v>12</v>
      </c>
      <c r="B27" s="26">
        <v>0.2615</v>
      </c>
      <c r="C27" s="27">
        <v>0.3375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17"/>
      <c r="O27" s="17"/>
      <c r="P27" s="17"/>
      <c r="Q27" s="17"/>
    </row>
    <row r="28" s="2" customFormat="1" ht="15.75" spans="1:17">
      <c r="A28" s="21" t="s">
        <v>14</v>
      </c>
      <c r="B28" s="26">
        <v>0.4702</v>
      </c>
      <c r="C28" s="27">
        <v>0.3449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17"/>
      <c r="O28" s="17"/>
      <c r="P28" s="17"/>
      <c r="Q28" s="17"/>
    </row>
    <row r="29" s="2" customFormat="1" ht="15.75" spans="1:17">
      <c r="A29" s="21" t="s">
        <v>16</v>
      </c>
      <c r="B29" s="26">
        <v>0.9528</v>
      </c>
      <c r="C29" s="27">
        <v>0.2601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17"/>
      <c r="O29" s="17"/>
      <c r="P29" s="17"/>
      <c r="Q29" s="17"/>
    </row>
    <row r="30" s="2" customFormat="1" ht="15.75" spans="1:17">
      <c r="A30" s="21" t="s">
        <v>18</v>
      </c>
      <c r="B30" s="26">
        <v>1.7241</v>
      </c>
      <c r="C30" s="27">
        <v>0.2587</v>
      </c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17"/>
      <c r="O30" s="17"/>
      <c r="P30" s="17"/>
      <c r="Q30" s="17"/>
    </row>
    <row r="31" s="2" customFormat="1" ht="15.75" spans="1:17">
      <c r="A31" s="21" t="s">
        <v>20</v>
      </c>
      <c r="B31" s="27">
        <v>0.4116</v>
      </c>
      <c r="C31" s="27">
        <v>0.2639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17"/>
      <c r="O31" s="17"/>
      <c r="P31" s="17"/>
      <c r="Q31" s="17"/>
    </row>
    <row r="32" s="2" customFormat="1" ht="15.75" spans="1:17">
      <c r="A32" s="21" t="s">
        <v>21</v>
      </c>
      <c r="B32" s="27">
        <v>0.4084</v>
      </c>
      <c r="C32" s="26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17"/>
      <c r="O32" s="17"/>
      <c r="P32" s="17"/>
      <c r="Q32" s="17"/>
    </row>
    <row r="33" s="2" customFormat="1" ht="15.75" spans="1:17">
      <c r="A33" s="25"/>
      <c r="B33" s="18"/>
      <c r="C33" s="18"/>
      <c r="D33" s="18"/>
      <c r="E33" s="18"/>
      <c r="F33" s="18"/>
      <c r="G33" s="18"/>
      <c r="J33" s="28"/>
      <c r="K33" s="28"/>
      <c r="L33" s="28"/>
      <c r="N33" s="17"/>
      <c r="O33" s="17"/>
      <c r="P33" s="17"/>
      <c r="Q33" s="17"/>
    </row>
    <row r="34" s="2" customFormat="1" ht="15.75" spans="1:17">
      <c r="A34" s="29" t="s">
        <v>23</v>
      </c>
      <c r="B34" s="7"/>
      <c r="C34" s="18"/>
      <c r="D34" s="18"/>
      <c r="E34" s="18"/>
      <c r="F34" s="18"/>
      <c r="G34" s="16"/>
      <c r="J34" s="16"/>
      <c r="K34" s="16"/>
      <c r="L34" s="16"/>
      <c r="N34" s="17"/>
      <c r="O34" s="17"/>
      <c r="P34" s="17"/>
      <c r="Q34" s="17"/>
    </row>
    <row r="35" s="2" customFormat="1" ht="15.75" spans="1:17">
      <c r="A35" s="30"/>
      <c r="B35" s="18"/>
      <c r="C35" s="18"/>
      <c r="D35" s="18"/>
      <c r="E35" s="18"/>
      <c r="F35" s="18"/>
      <c r="G35" s="18"/>
      <c r="J35" s="16"/>
      <c r="K35" s="16"/>
      <c r="L35" s="16"/>
      <c r="N35" s="17"/>
      <c r="O35" s="17"/>
      <c r="P35" s="17"/>
      <c r="Q35" s="17"/>
    </row>
    <row r="36" s="2" customFormat="1" ht="15.75" spans="1:17">
      <c r="A36" s="20" t="s">
        <v>24</v>
      </c>
      <c r="B36" s="20" t="s">
        <v>25</v>
      </c>
      <c r="C36" s="18"/>
      <c r="D36" s="18"/>
      <c r="E36" s="18"/>
      <c r="F36" s="18"/>
      <c r="G36" s="18"/>
      <c r="J36" s="16"/>
      <c r="K36" s="16"/>
      <c r="L36" s="16"/>
      <c r="N36" s="17"/>
      <c r="O36" s="17"/>
      <c r="P36" s="17"/>
      <c r="Q36" s="17"/>
    </row>
    <row r="37" s="2" customFormat="1" ht="15.75" spans="1:17">
      <c r="A37" s="31">
        <v>0</v>
      </c>
      <c r="B37" s="31">
        <f t="shared" ref="B37:B42" si="0">B25</f>
        <v>0.0509</v>
      </c>
      <c r="C37" s="18"/>
      <c r="D37" s="18"/>
      <c r="E37" s="18"/>
      <c r="F37" s="32"/>
      <c r="G37" s="32"/>
      <c r="H37" s="10"/>
      <c r="I37" s="18"/>
      <c r="J37" s="18"/>
      <c r="K37" s="18"/>
      <c r="L37" s="33"/>
      <c r="M37" s="33"/>
      <c r="N37" s="17"/>
      <c r="O37" s="17"/>
      <c r="P37" s="17"/>
      <c r="Q37" s="17"/>
    </row>
    <row r="38" s="2" customFormat="1" ht="15.75" spans="1:17">
      <c r="A38" s="31">
        <v>0.75</v>
      </c>
      <c r="B38" s="31">
        <f t="shared" si="0"/>
        <v>0.2047</v>
      </c>
      <c r="C38" s="18"/>
      <c r="D38" s="18"/>
      <c r="E38" s="18"/>
      <c r="F38" s="32"/>
      <c r="G38" s="32"/>
      <c r="H38" s="34"/>
      <c r="I38" s="18"/>
      <c r="J38" s="16"/>
      <c r="K38" s="16"/>
      <c r="L38" s="35" t="s">
        <v>26</v>
      </c>
      <c r="M38" s="35" t="s">
        <v>27</v>
      </c>
      <c r="N38" s="17"/>
      <c r="O38" s="17"/>
      <c r="P38" s="17"/>
      <c r="Q38" s="17"/>
    </row>
    <row r="39" s="2" customFormat="1" ht="15.75" spans="1:17">
      <c r="A39" s="31">
        <f t="shared" ref="A39:A42" si="1">A38*2</f>
        <v>1.5</v>
      </c>
      <c r="B39" s="31">
        <f t="shared" si="0"/>
        <v>0.2615</v>
      </c>
      <c r="C39" s="18"/>
      <c r="D39" s="18"/>
      <c r="E39" s="18"/>
      <c r="F39" s="32"/>
      <c r="G39" s="32"/>
      <c r="H39" s="18"/>
      <c r="I39" s="18"/>
      <c r="J39" s="16"/>
      <c r="K39" s="16"/>
      <c r="L39" s="36" t="s">
        <v>8</v>
      </c>
      <c r="M39" s="36" cm="1">
        <f t="array" ref="M39">SLOPE(B37:B42,A37:A42)</f>
        <v>0.139242764976959</v>
      </c>
      <c r="N39" s="17"/>
      <c r="O39" s="17"/>
      <c r="P39" s="17"/>
      <c r="Q39" s="17"/>
    </row>
    <row r="40" s="2" customFormat="1" ht="15.75" spans="1:17">
      <c r="A40" s="31">
        <f t="shared" si="1"/>
        <v>3</v>
      </c>
      <c r="B40" s="31">
        <f t="shared" si="0"/>
        <v>0.4702</v>
      </c>
      <c r="C40" s="18"/>
      <c r="D40" s="18"/>
      <c r="E40" s="18"/>
      <c r="F40" s="32"/>
      <c r="G40" s="32"/>
      <c r="J40" s="16"/>
      <c r="K40" s="16"/>
      <c r="L40" s="36" t="s">
        <v>10</v>
      </c>
      <c r="M40" s="36" cm="1">
        <f t="array" ref="M40">INTERCEPT(B37:B42,A37:A42)</f>
        <v>0.0711342857142858</v>
      </c>
      <c r="N40" s="17"/>
      <c r="O40" s="17"/>
      <c r="P40" s="17"/>
      <c r="Q40" s="17"/>
    </row>
    <row r="41" s="2" customFormat="1" ht="15.75" spans="1:17">
      <c r="A41" s="31">
        <f t="shared" si="1"/>
        <v>6</v>
      </c>
      <c r="B41" s="31">
        <f t="shared" si="0"/>
        <v>0.9528</v>
      </c>
      <c r="C41" s="18"/>
      <c r="D41" s="18"/>
      <c r="E41" s="18"/>
      <c r="F41" s="32"/>
      <c r="G41" s="32"/>
      <c r="I41" s="37"/>
      <c r="J41" s="16"/>
      <c r="K41" s="16"/>
      <c r="L41" s="36" t="s">
        <v>28</v>
      </c>
      <c r="M41" s="36">
        <f>INDEX(LINEST(B37:B42,A37:A42,TRUE,TRUE),3,1)</f>
        <v>0.997770865307961</v>
      </c>
      <c r="N41" s="17"/>
      <c r="O41" s="17"/>
      <c r="P41" s="17"/>
      <c r="Q41" s="17"/>
    </row>
    <row r="42" s="2" customFormat="1" ht="15.75" spans="1:17">
      <c r="A42" s="31">
        <f t="shared" si="1"/>
        <v>12</v>
      </c>
      <c r="B42" s="31">
        <f t="shared" si="0"/>
        <v>1.7241</v>
      </c>
      <c r="C42" s="18"/>
      <c r="D42" s="18"/>
      <c r="E42" s="18"/>
      <c r="F42" s="32"/>
      <c r="G42" s="32"/>
      <c r="I42" s="37"/>
      <c r="J42" s="16"/>
      <c r="K42" s="16"/>
      <c r="N42" s="17"/>
      <c r="O42" s="17"/>
      <c r="P42" s="17"/>
      <c r="Q42" s="17"/>
    </row>
    <row r="43" s="2" customFormat="1" ht="15.75" spans="1:17">
      <c r="A43" s="18"/>
      <c r="B43" s="18"/>
      <c r="C43" s="18"/>
      <c r="D43" s="18"/>
      <c r="E43" s="18"/>
      <c r="F43" s="32"/>
      <c r="G43" s="32"/>
      <c r="I43" s="38"/>
      <c r="J43" s="16"/>
      <c r="K43" s="16"/>
      <c r="N43" s="17"/>
      <c r="O43" s="17"/>
      <c r="P43" s="17"/>
      <c r="Q43" s="17"/>
    </row>
    <row r="44" s="2" customFormat="1" ht="15.75" spans="1:17">
      <c r="A44" s="18"/>
      <c r="B44" s="18"/>
      <c r="C44" s="18"/>
      <c r="D44" s="18"/>
      <c r="E44" s="18"/>
      <c r="F44" s="18"/>
      <c r="G44" s="16"/>
      <c r="J44" s="16"/>
      <c r="K44" s="16"/>
      <c r="N44" s="17"/>
      <c r="O44" s="17"/>
      <c r="P44" s="17"/>
      <c r="Q44" s="17"/>
    </row>
    <row r="45" s="4" customFormat="1" ht="15.75" spans="1:17">
      <c r="A45" s="39"/>
      <c r="B45" s="18"/>
      <c r="C45" s="18"/>
      <c r="D45" s="18"/>
      <c r="E45" s="18"/>
      <c r="F45" s="18"/>
      <c r="G45" s="16"/>
      <c r="H45" s="2"/>
      <c r="I45" s="2"/>
      <c r="J45" s="16"/>
      <c r="K45" s="16"/>
      <c r="N45" s="40"/>
      <c r="Q45" s="40"/>
    </row>
    <row r="46" s="2" customFormat="1" ht="15.75" spans="1:17">
      <c r="A46" s="39"/>
      <c r="B46" s="18"/>
      <c r="C46" s="18"/>
      <c r="D46" s="18"/>
      <c r="E46" s="18"/>
      <c r="F46" s="18"/>
      <c r="G46" s="16"/>
      <c r="J46" s="16"/>
      <c r="K46" s="16"/>
      <c r="L46" s="16"/>
      <c r="M46" s="16"/>
      <c r="N46" s="17"/>
      <c r="Q46" s="17"/>
    </row>
    <row r="47" s="2" customFormat="1" ht="15.75" spans="1:17">
      <c r="A47" s="39"/>
      <c r="B47" s="18"/>
      <c r="C47" s="18"/>
      <c r="D47" s="18"/>
      <c r="E47" s="18"/>
      <c r="F47" s="18"/>
      <c r="G47" s="16"/>
      <c r="J47" s="16"/>
      <c r="K47" s="16"/>
      <c r="L47" s="16"/>
      <c r="M47" s="16"/>
      <c r="N47" s="17"/>
      <c r="Q47" s="17"/>
    </row>
    <row r="48" s="2" customFormat="1" ht="15.75" spans="1:17">
      <c r="A48" s="39"/>
      <c r="B48" s="18"/>
      <c r="C48" s="18"/>
      <c r="D48" s="18"/>
      <c r="E48" s="18"/>
      <c r="F48" s="18"/>
      <c r="G48" s="16"/>
      <c r="J48" s="16"/>
      <c r="K48" s="16"/>
      <c r="L48" s="16"/>
      <c r="M48" s="16"/>
      <c r="N48" s="17"/>
      <c r="Q48" s="17"/>
    </row>
    <row r="49" s="2" customFormat="1" ht="15.75" spans="1:17">
      <c r="A49" s="39"/>
      <c r="B49" s="18"/>
      <c r="C49" s="18"/>
      <c r="D49" s="18"/>
      <c r="E49" s="18"/>
      <c r="F49" s="18"/>
      <c r="G49" s="16"/>
      <c r="J49" s="16"/>
      <c r="K49" s="16"/>
      <c r="L49" s="16"/>
      <c r="M49" s="16"/>
      <c r="N49" s="17"/>
      <c r="O49" s="17"/>
      <c r="P49" s="17"/>
      <c r="Q49" s="17"/>
    </row>
    <row r="50" s="2" customFormat="1" ht="15.75" spans="1:17">
      <c r="A50" s="25"/>
      <c r="B50" s="18"/>
      <c r="C50" s="16"/>
      <c r="D50" s="16"/>
      <c r="E50" s="16"/>
      <c r="F50" s="16"/>
      <c r="G50" s="16"/>
      <c r="I50" s="16"/>
      <c r="J50" s="16"/>
      <c r="K50" s="16"/>
      <c r="L50" s="16"/>
      <c r="M50" s="16"/>
    </row>
    <row r="51" s="4" customFormat="1" ht="15.75" spans="1:17">
      <c r="A51" s="6" t="str">
        <f>"三、样本浓度（"&amp;A36&amp;"）"</f>
        <v>三、样本浓度（ng/mL）</v>
      </c>
      <c r="B51" s="7"/>
      <c r="H51" s="2"/>
    </row>
    <row r="52" s="2" customFormat="1" ht="15.75" spans="1:17">
      <c r="A52" s="19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s="2" customFormat="1" ht="15.75" spans="1:17">
      <c r="A53" s="19"/>
      <c r="B53" s="20">
        <v>1</v>
      </c>
      <c r="C53" s="20">
        <v>2</v>
      </c>
      <c r="D53" s="20">
        <v>3</v>
      </c>
      <c r="E53" s="20">
        <v>4</v>
      </c>
      <c r="F53" s="20">
        <v>5</v>
      </c>
      <c r="G53" s="20">
        <v>6</v>
      </c>
      <c r="H53" s="20">
        <v>7</v>
      </c>
      <c r="I53" s="20">
        <v>8</v>
      </c>
      <c r="J53" s="20">
        <v>9</v>
      </c>
      <c r="K53" s="20">
        <v>10</v>
      </c>
      <c r="L53" s="20">
        <v>11</v>
      </c>
      <c r="M53" s="20">
        <v>12</v>
      </c>
    </row>
    <row r="54" s="2" customFormat="1" ht="15.75" spans="1:17">
      <c r="A54" s="41" t="s">
        <v>8</v>
      </c>
      <c r="B54" s="42"/>
      <c r="C54" s="42">
        <f>(C25-$M$40)/$M$39*1</f>
        <v>2.47169549055325</v>
      </c>
      <c r="D54" s="42"/>
      <c r="E54" s="42"/>
      <c r="F54" s="42"/>
      <c r="G54" s="42"/>
      <c r="H54" s="42"/>
      <c r="I54" s="42"/>
      <c r="J54" s="42"/>
      <c r="K54" s="42"/>
      <c r="L54" s="42"/>
      <c r="M54" s="42"/>
    </row>
    <row r="55" s="2" customFormat="1" ht="15.75" spans="1:17">
      <c r="A55" s="41" t="s">
        <v>10</v>
      </c>
      <c r="B55" s="42"/>
      <c r="C55" s="42">
        <f t="shared" ref="C55:C60" si="2">(C26-$M$40)/$M$39*1</f>
        <v>1.95102211831738</v>
      </c>
      <c r="D55" s="42"/>
      <c r="E55" s="42"/>
      <c r="F55" s="42"/>
      <c r="G55" s="42"/>
      <c r="H55" s="42"/>
      <c r="I55" s="42"/>
      <c r="J55" s="42"/>
      <c r="K55" s="42"/>
      <c r="L55" s="42"/>
      <c r="M55" s="42"/>
    </row>
    <row r="56" s="2" customFormat="1" ht="15.75" spans="1:17">
      <c r="A56" s="41" t="s">
        <v>12</v>
      </c>
      <c r="B56" s="42"/>
      <c r="C56" s="42">
        <f t="shared" si="2"/>
        <v>1.91295909938151</v>
      </c>
      <c r="D56" s="42"/>
      <c r="E56" s="42"/>
      <c r="F56" s="42"/>
      <c r="G56" s="42"/>
      <c r="H56" s="42"/>
      <c r="I56" s="42"/>
      <c r="J56" s="42"/>
      <c r="K56" s="42"/>
      <c r="L56" s="42"/>
      <c r="M56" s="42"/>
    </row>
    <row r="57" s="2" customFormat="1" ht="15.75" spans="1:17">
      <c r="A57" s="41" t="s">
        <v>14</v>
      </c>
      <c r="B57" s="42"/>
      <c r="C57" s="42">
        <f t="shared" si="2"/>
        <v>1.966103691858</v>
      </c>
      <c r="D57" s="42"/>
      <c r="E57" s="42"/>
      <c r="F57" s="42"/>
      <c r="G57" s="42"/>
      <c r="H57" s="42"/>
      <c r="I57" s="42"/>
      <c r="J57" s="42"/>
      <c r="K57" s="42"/>
      <c r="L57" s="42"/>
      <c r="M57" s="42"/>
    </row>
    <row r="58" s="2" customFormat="1" ht="15.75" spans="1:17">
      <c r="A58" s="41" t="s">
        <v>16</v>
      </c>
      <c r="B58" s="42"/>
      <c r="C58" s="42">
        <f t="shared" si="2"/>
        <v>1.35709538888418</v>
      </c>
      <c r="D58" s="42"/>
      <c r="E58" s="42"/>
      <c r="F58" s="42"/>
      <c r="G58" s="42"/>
      <c r="H58" s="42"/>
      <c r="I58" s="42"/>
      <c r="J58" s="42"/>
      <c r="K58" s="42"/>
      <c r="L58" s="42"/>
      <c r="M58" s="42"/>
    </row>
    <row r="59" s="2" customFormat="1" ht="15.75" spans="1:17">
      <c r="A59" s="41" t="s">
        <v>18</v>
      </c>
      <c r="B59" s="42"/>
      <c r="C59" s="42">
        <f t="shared" si="2"/>
        <v>1.34704100652376</v>
      </c>
      <c r="D59" s="42"/>
      <c r="E59" s="42"/>
      <c r="F59" s="42"/>
      <c r="G59" s="42"/>
      <c r="H59" s="42"/>
      <c r="I59" s="42"/>
      <c r="J59" s="42"/>
      <c r="K59" s="42"/>
      <c r="L59" s="42"/>
      <c r="M59" s="42"/>
    </row>
    <row r="60" s="2" customFormat="1" ht="15.75" spans="1:17">
      <c r="A60" s="41" t="s">
        <v>20</v>
      </c>
      <c r="B60" s="42">
        <f>(B31-$M$40)/$M$39*1</f>
        <v>2.445123194315</v>
      </c>
      <c r="C60" s="42">
        <f t="shared" si="2"/>
        <v>1.38438585529103</v>
      </c>
      <c r="D60" s="42"/>
      <c r="E60" s="42"/>
      <c r="F60" s="42"/>
      <c r="G60" s="42"/>
      <c r="H60" s="42"/>
      <c r="I60" s="42"/>
      <c r="J60" s="42"/>
      <c r="K60" s="42"/>
      <c r="L60" s="42"/>
      <c r="M60" s="42"/>
    </row>
    <row r="61" s="2" customFormat="1" ht="15.75" spans="1:17">
      <c r="A61" s="41" t="s">
        <v>21</v>
      </c>
      <c r="B61" s="42">
        <f>(B32-$M$40)/$M$39*1</f>
        <v>2.42214174891977</v>
      </c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</row>
    <row r="62" s="1" customFormat="1" spans="1:17">
      <c r="A62" s="43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</row>
    <row r="63" s="1" customFormat="1" spans="1:17">
      <c r="A63" s="45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</row>
    <row r="64" s="1" customFormat="1" spans="1:17">
      <c r="A64" s="45"/>
    </row>
    <row r="65" s="1" customFormat="1" spans="1:5">
      <c r="A65" s="45"/>
      <c r="B65" s="47"/>
    </row>
    <row r="66" s="1" customFormat="1" spans="1:5">
      <c r="A66" s="47"/>
      <c r="B66" s="47"/>
      <c r="C66" s="47"/>
      <c r="D66" s="47"/>
      <c r="E66" s="47"/>
    </row>
  </sheetData>
  <mergeCells count="1">
    <mergeCell ref="A1:M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CD24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淡嘫①笑</cp:lastModifiedBy>
  <dcterms:created xsi:type="dcterms:W3CDTF">2026-03-05T08:07:00Z</dcterms:created>
  <dcterms:modified xsi:type="dcterms:W3CDTF">2026-06-15T07:26:46Z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869D33C76B824362AD56B760B38701CB_11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